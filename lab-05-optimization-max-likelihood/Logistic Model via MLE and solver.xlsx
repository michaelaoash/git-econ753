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t" sheetId="1" state="visible" r:id="rId3"/>
    <sheet name="__OpenSolverCache__" sheetId="2" state="hidden" r:id="rId4"/>
    <sheet name="__OpenSolver__" sheetId="3" state="hidden" r:id="rId5"/>
    <sheet name="chi-square" sheetId="4" state="visible" r:id="rId6"/>
  </sheets>
  <definedNames>
    <definedName function="false" hidden="false" localSheetId="0" name="solver_adj" vbProcedure="false">logit!$B$23:$B$25</definedName>
    <definedName function="false" hidden="false" localSheetId="0" name="solver_asr" vbProcedure="false">0</definedName>
    <definedName function="false" hidden="false" localSheetId="0" name="solver_bbd" vbProcedure="false">1</definedName>
    <definedName function="false" hidden="false" localSheetId="0" name="solver_ccoeff" vbProcedure="false">0</definedName>
    <definedName function="false" hidden="false" localSheetId="0" name="solver_cog" vbProcedure="false">0</definedName>
    <definedName function="false" hidden="false" localSheetId="0" name="solver_crpb" vbProcedure="false">0</definedName>
    <definedName function="false" hidden="false" localSheetId="0" name="solver_eng" vbProcedure="false">1</definedName>
    <definedName function="false" hidden="false" localSheetId="0" name="solver_eps" vbProcedure="false">0</definedName>
    <definedName function="false" hidden="false" localSheetId="0" name="solver_int" vbProcedure="false">0</definedName>
    <definedName function="false" hidden="false" localSheetId="0" name="solver_lo_eng" vbProcedure="false">"com.sun.star.comp.Calc.SwarmSolver"</definedName>
    <definedName function="false" hidden="false" localSheetId="0" name="solver_mtpb" vbProcedure="false">0</definedName>
    <definedName function="false" hidden="false" localSheetId="0" name="solver_neg" vbProcedure="false">2</definedName>
    <definedName function="false" hidden="false" localSheetId="0" name="solver_num" vbProcedure="false">0</definedName>
    <definedName function="false" hidden="false" localSheetId="0" name="solver_opt" vbProcedure="false">logit!$G$22</definedName>
    <definedName function="false" hidden="false" localSheetId="0" name="solver_smax" vbProcedure="false">0</definedName>
    <definedName function="false" hidden="false" localSheetId="0" name="solver_smin" vbProcedure="false">0</definedName>
    <definedName function="false" hidden="false" localSheetId="0" name="solver_soc" vbProcedure="false">0</definedName>
    <definedName function="false" hidden="false" localSheetId="0" name="solver_stol" vbProcedure="false">0</definedName>
    <definedName function="false" hidden="false" localSheetId="0" name="solver_tim" vbProcedure="false">60000</definedName>
    <definedName function="false" hidden="false" localSheetId="0" name="solver_typ" vbProcedure="false">1</definedName>
    <definedName function="false" hidden="false" localSheetId="0" name="solver_vrt" vbProcedure="false">0</definedName>
    <definedName function="false" hidden="false" localSheetId="1" name="solver_adj" vbProcedure="false">logit!$B$23:$B$25</definedName>
    <definedName function="false" hidden="false" localSheetId="1" name="solver_asr" vbProcedure="false">0</definedName>
    <definedName function="false" hidden="false" localSheetId="1" name="solver_bbd" vbProcedure="false">1</definedName>
    <definedName function="false" hidden="false" localSheetId="1" name="solver_ccoeff" vbProcedure="false">0</definedName>
    <definedName function="false" hidden="false" localSheetId="1" name="solver_cog" vbProcedure="false">0</definedName>
    <definedName function="false" hidden="false" localSheetId="1" name="solver_crpb" vbProcedure="false">0</definedName>
    <definedName function="false" hidden="false" localSheetId="1" name="solver_eng" vbProcedure="false">1</definedName>
    <definedName function="false" hidden="false" localSheetId="1" name="solver_eps" vbProcedure="false">0</definedName>
    <definedName function="false" hidden="false" localSheetId="1" name="solver_int" vbProcedure="false">0</definedName>
    <definedName function="false" hidden="false" localSheetId="1" name="solver_lo_eng" vbProcedure="false">"com.sun.star.comp.Calc.SwarmSolver"</definedName>
    <definedName function="false" hidden="false" localSheetId="1" name="solver_mtpb" vbProcedure="false">0</definedName>
    <definedName function="false" hidden="false" localSheetId="1" name="solver_neg" vbProcedure="false">2</definedName>
    <definedName function="false" hidden="false" localSheetId="1" name="solver_num" vbProcedure="false">0</definedName>
    <definedName function="false" hidden="false" localSheetId="1" name="solver_opt" vbProcedure="false">logit!$G$22</definedName>
    <definedName function="false" hidden="false" localSheetId="1" name="solver_smax" vbProcedure="false">0</definedName>
    <definedName function="false" hidden="false" localSheetId="1" name="solver_smin" vbProcedure="false">0</definedName>
    <definedName function="false" hidden="false" localSheetId="1" name="solver_soc" vbProcedure="false">0</definedName>
    <definedName function="false" hidden="false" localSheetId="1" name="solver_stol" vbProcedure="false">0</definedName>
    <definedName function="false" hidden="false" localSheetId="1" name="solver_tim" vbProcedure="false">60000</definedName>
    <definedName function="false" hidden="false" localSheetId="1" name="solver_typ" vbProcedure="false">1</definedName>
    <definedName function="false" hidden="false" localSheetId="1" name="solver_vrt" vbProcedure="false">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<sst xmlns="http://schemas.openxmlformats.org/spreadsheetml/2006/main" count="37" uniqueCount="25">
  <si>
    <t xml:space="preserve">y</t>
  </si>
  <si>
    <t xml:space="preserve">x1</t>
  </si>
  <si>
    <t xml:space="preserve">x2</t>
  </si>
  <si>
    <t xml:space="preserve">Logit</t>
  </si>
  <si>
    <t xml:space="preserve">eLogit</t>
  </si>
  <si>
    <t xml:space="preserve">Probability</t>
  </si>
  <si>
    <t xml:space="preserve">lnLikelihood</t>
  </si>
  <si>
    <t xml:space="preserve">b0</t>
  </si>
  <si>
    <t xml:space="preserve">b1</t>
  </si>
  <si>
    <t xml:space="preserve">b2</t>
  </si>
  <si>
    <t xml:space="preserve">O</t>
  </si>
  <si>
    <t xml:space="preserve">f</t>
  </si>
  <si>
    <t xml:space="preserve">m</t>
  </si>
  <si>
    <t xml:space="preserve">T</t>
  </si>
  <si>
    <t xml:space="preserve">E</t>
  </si>
  <si>
    <r>
      <rPr>
        <sz val="10"/>
        <color rgb="FF000000"/>
        <rFont val="DejaVu Sans"/>
        <family val="0"/>
        <charset val="1"/>
      </rPr>
      <t xml:space="preserve">χ</t>
    </r>
    <r>
      <rPr>
        <vertAlign val="superscript"/>
        <sz val="10"/>
        <color rgb="FF000000"/>
        <rFont val="DejaVu Sans"/>
        <family val="0"/>
        <charset val="1"/>
      </rPr>
      <t xml:space="preserve">2</t>
    </r>
  </si>
  <si>
    <t xml:space="preserve">s</t>
  </si>
  <si>
    <t xml:space="preserve">b</t>
  </si>
  <si>
    <t xml:space="preserve">t</t>
  </si>
  <si>
    <t xml:space="preserve">Test of Independence (Chi-Square)</t>
  </si>
  <si>
    <t xml:space="preserve">Alpha</t>
  </si>
  <si>
    <t xml:space="preserve">df</t>
  </si>
  <si>
    <t xml:space="preserve">P-value</t>
  </si>
  <si>
    <t xml:space="preserve">Test Statistic</t>
  </si>
  <si>
    <t xml:space="preserve">Critical Value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</si>
</sst>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"/>
    <numFmt numFmtId="166" formatCode="0.000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rgb="FF000000"/>
      <name val="DejaVu Sans"/>
      <family val="0"/>
      <charset val="1"/>
    </font>
    <font>
      <vertAlign val="superscript"/>
      <sz val="10"/>
      <color rgb="FF000000"/>
      <name val="DejaVu Sans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n">
        <v>0</v>
      </c>
      <c r="B2" s="1" t="n">
        <v>14.44</v>
      </c>
      <c r="C2" s="1" t="n">
        <v>13.93</v>
      </c>
      <c r="D2" s="2" t="n">
        <f aca="false">$B$23+$B$24*B2+$B$25*C2</f>
        <v>0.02937</v>
      </c>
      <c r="E2" s="3" t="n">
        <f aca="false">EXP(D2)</f>
        <v>1.02980555204789</v>
      </c>
      <c r="F2" s="3" t="n">
        <f aca="false">IF(A2=1,E2/(1+E2),1-(E2/(1+E2)))</f>
        <v>0.492658027755954</v>
      </c>
      <c r="G2" s="3" t="n">
        <f aca="false">LN(F2)</f>
        <v>-0.707940001297286</v>
      </c>
    </row>
    <row r="3" customFormat="false" ht="15.75" hidden="false" customHeight="false" outlineLevel="0" collapsed="false">
      <c r="A3" s="1" t="n">
        <v>1</v>
      </c>
      <c r="B3" s="1" t="n">
        <v>18.45</v>
      </c>
      <c r="C3" s="1" t="n">
        <v>3.16</v>
      </c>
      <c r="D3" s="2" t="n">
        <f aca="false">$B$23+$B$24*B3+$B$25*C3</f>
        <v>0.02261</v>
      </c>
      <c r="E3" s="3" t="n">
        <f aca="false">EXP(D3)</f>
        <v>1.0228675434061</v>
      </c>
      <c r="F3" s="3" t="n">
        <f aca="false">IF(A3=1,E3/(1+E3),1-(E3/(1+E3)))</f>
        <v>0.50565225921011</v>
      </c>
      <c r="G3" s="3" t="n">
        <f aca="false">LN(F3)</f>
        <v>-0.681906080711357</v>
      </c>
    </row>
    <row r="4" customFormat="false" ht="15.75" hidden="false" customHeight="false" outlineLevel="0" collapsed="false">
      <c r="A4" s="1" t="n">
        <v>0</v>
      </c>
      <c r="B4" s="1" t="n">
        <v>5.45</v>
      </c>
      <c r="C4" s="1" t="n">
        <v>8.51</v>
      </c>
      <c r="D4" s="2" t="n">
        <f aca="false">$B$23+$B$24*B4+$B$25*C4</f>
        <v>0.01496</v>
      </c>
      <c r="E4" s="3" t="n">
        <f aca="false">EXP(D4)</f>
        <v>1.01507246090521</v>
      </c>
      <c r="F4" s="3" t="n">
        <f aca="false">IF(A4=1,E4/(1+E4),1-(E4/(1+E4)))</f>
        <v>0.496260069749938</v>
      </c>
      <c r="G4" s="3" t="n">
        <f aca="false">LN(F4)</f>
        <v>-0.700655155499079</v>
      </c>
    </row>
    <row r="5" customFormat="false" ht="15.75" hidden="false" customHeight="false" outlineLevel="0" collapsed="false">
      <c r="A5" s="1" t="n">
        <v>0</v>
      </c>
      <c r="B5" s="1" t="n">
        <v>10.77</v>
      </c>
      <c r="C5" s="1" t="n">
        <v>10.04</v>
      </c>
      <c r="D5" s="2" t="n">
        <f aca="false">$B$23+$B$24*B5+$B$25*C5</f>
        <v>0.02181</v>
      </c>
      <c r="E5" s="3" t="n">
        <f aca="false">EXP(D5)</f>
        <v>1.02204957660172</v>
      </c>
      <c r="F5" s="3" t="n">
        <f aca="false">IF(A5=1,E5/(1+E5),1-(E5/(1+E5)))</f>
        <v>0.494547716125047</v>
      </c>
      <c r="G5" s="3" t="n">
        <f aca="false">LN(F5)</f>
        <v>-0.704111638894005</v>
      </c>
    </row>
    <row r="6" customFormat="false" ht="15.75" hidden="false" customHeight="false" outlineLevel="0" collapsed="false">
      <c r="A6" s="1" t="n">
        <v>0</v>
      </c>
      <c r="B6" s="1" t="n">
        <v>11.21</v>
      </c>
      <c r="C6" s="1" t="n">
        <v>10.02</v>
      </c>
      <c r="D6" s="2" t="n">
        <f aca="false">$B$23+$B$24*B6+$B$25*C6</f>
        <v>0.02223</v>
      </c>
      <c r="E6" s="3" t="n">
        <f aca="false">EXP(D6)</f>
        <v>1.02247892758129</v>
      </c>
      <c r="F6" s="3" t="n">
        <f aca="false">IF(A6=1,E6/(1+E6),1-(E6/(1+E6)))</f>
        <v>0.494442728852515</v>
      </c>
      <c r="G6" s="3" t="n">
        <f aca="false">LN(F6)</f>
        <v>-0.704323950900576</v>
      </c>
    </row>
    <row r="7" customFormat="false" ht="15.75" hidden="false" customHeight="false" outlineLevel="0" collapsed="false">
      <c r="A7" s="1" t="n">
        <v>0</v>
      </c>
      <c r="B7" s="1" t="n">
        <v>8.31</v>
      </c>
      <c r="C7" s="1" t="n">
        <v>9.5</v>
      </c>
      <c r="D7" s="2" t="n">
        <f aca="false">$B$23+$B$24*B7+$B$25*C7</f>
        <v>0.01881</v>
      </c>
      <c r="E7" s="3" t="n">
        <f aca="false">EXP(D7)</f>
        <v>1.01898802249923</v>
      </c>
      <c r="F7" s="3" t="n">
        <f aca="false">IF(A7=1,E7/(1+E7),1-(E7/(1+E7)))</f>
        <v>0.495297638646779</v>
      </c>
      <c r="G7" s="3" t="n">
        <f aca="false">LN(F7)</f>
        <v>-0.702596406920451</v>
      </c>
    </row>
    <row r="8" customFormat="false" ht="15.75" hidden="false" customHeight="false" outlineLevel="0" collapsed="false">
      <c r="A8" s="1" t="n">
        <v>0</v>
      </c>
      <c r="B8" s="1" t="n">
        <v>13.09</v>
      </c>
      <c r="C8" s="1" t="n">
        <v>2.66</v>
      </c>
      <c r="D8" s="2" t="n">
        <f aca="false">$B$23+$B$24*B8+$B$25*C8</f>
        <v>0.01675</v>
      </c>
      <c r="E8" s="3" t="n">
        <f aca="false">EXP(D8)</f>
        <v>1.0168910677778</v>
      </c>
      <c r="F8" s="3" t="n">
        <f aca="false">IF(A8=1,E8/(1+E8),1-(E8/(1+E8)))</f>
        <v>0.495812597901876</v>
      </c>
      <c r="G8" s="3" t="n">
        <f aca="false">LN(F8)</f>
        <v>-0.701557250462477</v>
      </c>
    </row>
    <row r="9" customFormat="false" ht="15.75" hidden="false" customHeight="false" outlineLevel="0" collapsed="false">
      <c r="A9" s="1" t="n">
        <v>0</v>
      </c>
      <c r="B9" s="1" t="n">
        <v>19.72</v>
      </c>
      <c r="C9" s="1" t="n">
        <v>9.61</v>
      </c>
      <c r="D9" s="2" t="n">
        <f aca="false">$B$23+$B$24*B9+$B$25*C9</f>
        <v>0.03033</v>
      </c>
      <c r="E9" s="3" t="n">
        <f aca="false">EXP(D9)</f>
        <v>1.03079464006414</v>
      </c>
      <c r="F9" s="3" t="n">
        <f aca="false">IF(A9=1,E9/(1+E9),1-(E9/(1+E9)))</f>
        <v>0.49241808121397</v>
      </c>
      <c r="G9" s="3" t="n">
        <f aca="false">LN(F9)</f>
        <v>-0.708427164765255</v>
      </c>
    </row>
    <row r="10" customFormat="false" ht="15.75" hidden="false" customHeight="false" outlineLevel="0" collapsed="false">
      <c r="A10" s="1" t="n">
        <v>1</v>
      </c>
      <c r="B10" s="1" t="n">
        <v>18.06</v>
      </c>
      <c r="C10" s="1" t="n">
        <v>9.24</v>
      </c>
      <c r="D10" s="2" t="n">
        <f aca="false">$B$23+$B$24*B10+$B$25*C10</f>
        <v>0.0283</v>
      </c>
      <c r="E10" s="3" t="n">
        <f aca="false">EXP(D10)</f>
        <v>1.02870424940919</v>
      </c>
      <c r="F10" s="3" t="n">
        <f aca="false">IF(A10=1,E10/(1+E10),1-(E10/(1+E10)))</f>
        <v>0.507074527846419</v>
      </c>
      <c r="G10" s="3" t="n">
        <f aca="false">LN(F10)</f>
        <v>-0.67909728846937</v>
      </c>
    </row>
    <row r="11" customFormat="false" ht="15.75" hidden="false" customHeight="false" outlineLevel="0" collapsed="false">
      <c r="A11" s="1" t="n">
        <v>0</v>
      </c>
      <c r="B11" s="1" t="n">
        <v>8.13</v>
      </c>
      <c r="C11" s="1" t="n">
        <v>9.32</v>
      </c>
      <c r="D11" s="2" t="n">
        <f aca="false">$B$23+$B$24*B11+$B$25*C11</f>
        <v>0.01845</v>
      </c>
      <c r="E11" s="3" t="n">
        <f aca="false">EXP(D11)</f>
        <v>1.01862125283364</v>
      </c>
      <c r="F11" s="3" t="n">
        <f aca="false">IF(A11=1,E11/(1+E11),1-(E11/(1+E11)))</f>
        <v>0.495387630837757</v>
      </c>
      <c r="G11" s="3" t="n">
        <f aca="false">LN(F11)</f>
        <v>-0.702414730268949</v>
      </c>
    </row>
    <row r="12" customFormat="false" ht="15.75" hidden="false" customHeight="false" outlineLevel="0" collapsed="false">
      <c r="A12" s="1" t="n">
        <v>0</v>
      </c>
      <c r="B12" s="1" t="n">
        <v>6.26</v>
      </c>
      <c r="C12" s="1" t="n">
        <v>4.19</v>
      </c>
      <c r="D12" s="2" t="n">
        <f aca="false">$B$23+$B$24*B12+$B$25*C12</f>
        <v>0.01145</v>
      </c>
      <c r="E12" s="3" t="n">
        <f aca="false">EXP(D12)</f>
        <v>1.01151580215508</v>
      </c>
      <c r="F12" s="3" t="n">
        <f aca="false">IF(A12=1,E12/(1+E12),1-(E12/(1+E12)))</f>
        <v>0.497137531272999</v>
      </c>
      <c r="G12" s="3" t="n">
        <f aca="false">LN(F12)</f>
        <v>-0.698888568282926</v>
      </c>
    </row>
    <row r="13" customFormat="false" ht="15.75" hidden="false" customHeight="false" outlineLevel="0" collapsed="false">
      <c r="A13" s="1" t="n">
        <v>0</v>
      </c>
      <c r="B13" s="1" t="n">
        <v>5.31</v>
      </c>
      <c r="C13" s="1" t="n">
        <v>10.89</v>
      </c>
      <c r="D13" s="2" t="n">
        <f aca="false">$B$23+$B$24*B13+$B$25*C13</f>
        <v>0.0172</v>
      </c>
      <c r="E13" s="3" t="n">
        <f aca="false">EXP(D13)</f>
        <v>1.01734877173397</v>
      </c>
      <c r="F13" s="3" t="n">
        <f aca="false">IF(A13=1,E13/(1+E13),1-(E13/(1+E13)))</f>
        <v>0.495700106006197</v>
      </c>
      <c r="G13" s="3" t="n">
        <f aca="false">LN(F13)</f>
        <v>-0.701784160104114</v>
      </c>
    </row>
    <row r="14" customFormat="false" ht="15.75" hidden="false" customHeight="false" outlineLevel="0" collapsed="false">
      <c r="A14" s="1" t="n">
        <v>1</v>
      </c>
      <c r="B14" s="1" t="n">
        <v>19.83</v>
      </c>
      <c r="C14" s="1" t="n">
        <v>3.33</v>
      </c>
      <c r="D14" s="2" t="n">
        <f aca="false">$B$23+$B$24*B14+$B$25*C14</f>
        <v>0.02416</v>
      </c>
      <c r="E14" s="3" t="n">
        <f aca="false">EXP(D14)</f>
        <v>1.0244542174531</v>
      </c>
      <c r="F14" s="3" t="n">
        <f aca="false">IF(A14=1,E14/(1+E14),1-(E14/(1+E14)))</f>
        <v>0.506039706218663</v>
      </c>
      <c r="G14" s="3" t="n">
        <f aca="false">LN(F14)</f>
        <v>-0.681140141985472</v>
      </c>
    </row>
    <row r="15" customFormat="false" ht="15.75" hidden="false" customHeight="false" outlineLevel="0" collapsed="false">
      <c r="A15" s="1" t="n">
        <v>1</v>
      </c>
      <c r="B15" s="1" t="n">
        <v>7</v>
      </c>
      <c r="C15" s="1" t="n">
        <v>7.27</v>
      </c>
      <c r="D15" s="2" t="n">
        <f aca="false">$B$23+$B$24*B15+$B$25*C15</f>
        <v>0.01527</v>
      </c>
      <c r="E15" s="3" t="n">
        <f aca="false">EXP(D15)</f>
        <v>1.01538718214737</v>
      </c>
      <c r="F15" s="3" t="n">
        <f aca="false">IF(A15=1,E15/(1+E15),1-(E15/(1+E15)))</f>
        <v>0.503817425823601</v>
      </c>
      <c r="G15" s="3" t="n">
        <f aca="false">LN(F15)</f>
        <v>-0.685541326889275</v>
      </c>
    </row>
    <row r="16" customFormat="false" ht="15.75" hidden="false" customHeight="false" outlineLevel="0" collapsed="false">
      <c r="A16" s="1" t="n">
        <v>1</v>
      </c>
      <c r="B16" s="1" t="n">
        <v>9.77</v>
      </c>
      <c r="C16" s="1" t="n">
        <v>5.66</v>
      </c>
      <c r="D16" s="2" t="n">
        <f aca="false">$B$23+$B$24*B16+$B$25*C16</f>
        <v>0.01643</v>
      </c>
      <c r="E16" s="3" t="n">
        <f aca="false">EXP(D16)</f>
        <v>1.01656571469538</v>
      </c>
      <c r="F16" s="3" t="n">
        <f aca="false">IF(A16=1,E16/(1+E16),1-(E16/(1+E16)))</f>
        <v>0.504107407602605</v>
      </c>
      <c r="G16" s="3" t="n">
        <f aca="false">LN(F16)</f>
        <v>-0.68496592329292</v>
      </c>
    </row>
    <row r="17" customFormat="false" ht="15.75" hidden="false" customHeight="false" outlineLevel="0" collapsed="false">
      <c r="A17" s="1" t="n">
        <v>0</v>
      </c>
      <c r="B17" s="1" t="n">
        <v>19.83</v>
      </c>
      <c r="C17" s="1" t="n">
        <v>13.03</v>
      </c>
      <c r="D17" s="2" t="n">
        <f aca="false">$B$23+$B$24*B17+$B$25*C17</f>
        <v>0.03386</v>
      </c>
      <c r="E17" s="3" t="n">
        <f aca="false">EXP(D17)</f>
        <v>1.03443977502163</v>
      </c>
      <c r="F17" s="3" t="n">
        <f aca="false">IF(A17=1,E17/(1+E17),1-(E17/(1+E17)))</f>
        <v>0.491535808667213</v>
      </c>
      <c r="G17" s="3" t="n">
        <f aca="false">LN(F17)</f>
        <v>-0.710220486164316</v>
      </c>
    </row>
    <row r="18" customFormat="false" ht="15.75" hidden="false" customHeight="false" outlineLevel="0" collapsed="false">
      <c r="A18" s="1" t="n">
        <v>0</v>
      </c>
      <c r="B18" s="1" t="n">
        <v>9.87</v>
      </c>
      <c r="C18" s="1" t="n">
        <v>8.06</v>
      </c>
      <c r="D18" s="2" t="n">
        <f aca="false">$B$23+$B$24*B18+$B$25*C18</f>
        <v>0.01893</v>
      </c>
      <c r="E18" s="3" t="n">
        <f aca="false">EXP(D18)</f>
        <v>1.01911030839894</v>
      </c>
      <c r="F18" s="3" t="n">
        <f aca="false">IF(A18=1,E18/(1+E18),1-(E18/(1+E18)))</f>
        <v>0.495267641317206</v>
      </c>
      <c r="G18" s="3" t="n">
        <f aca="false">LN(F18)</f>
        <v>-0.702656973003654</v>
      </c>
    </row>
    <row r="19" customFormat="false" ht="15.75" hidden="false" customHeight="false" outlineLevel="0" collapsed="false">
      <c r="A19" s="1" t="n">
        <v>0</v>
      </c>
      <c r="B19" s="1" t="n">
        <v>6.31</v>
      </c>
      <c r="C19" s="1" t="n">
        <v>8.99</v>
      </c>
      <c r="D19" s="2" t="n">
        <f aca="false">$B$23+$B$24*B19+$B$25*C19</f>
        <v>0.0163</v>
      </c>
      <c r="E19" s="3" t="n">
        <f aca="false">EXP(D19)</f>
        <v>1.01643356974208</v>
      </c>
      <c r="F19" s="3" t="n">
        <f aca="false">IF(A19=1,E19/(1+E19),1-(E19/(1+E19)))</f>
        <v>0.495925090221499</v>
      </c>
      <c r="G19" s="3" t="n">
        <f aca="false">LN(F19)</f>
        <v>-0.701330391442289</v>
      </c>
    </row>
    <row r="20" customFormat="false" ht="15.75" hidden="false" customHeight="false" outlineLevel="0" collapsed="false">
      <c r="A20" s="1" t="n">
        <v>1</v>
      </c>
      <c r="B20" s="1" t="n">
        <v>17.01</v>
      </c>
      <c r="C20" s="1" t="n">
        <v>10.6</v>
      </c>
      <c r="D20" s="2" t="n">
        <f aca="false">$B$23+$B$24*B20+$B$25*C20</f>
        <v>0.02861</v>
      </c>
      <c r="E20" s="3" t="n">
        <f aca="false">EXP(D20)</f>
        <v>1.02902319716085</v>
      </c>
      <c r="F20" s="3" t="n">
        <f aca="false">IF(A20=1,E20/(1+E20),1-(E20/(1+E20)))</f>
        <v>0.507152012160694</v>
      </c>
      <c r="G20" s="3" t="n">
        <f aca="false">LN(F20)</f>
        <v>-0.67894449358308</v>
      </c>
    </row>
    <row r="21" customFormat="false" ht="15.75" hidden="false" customHeight="false" outlineLevel="0" collapsed="false">
      <c r="A21" s="1" t="n">
        <v>0</v>
      </c>
      <c r="B21" s="1" t="n">
        <v>4.59</v>
      </c>
      <c r="C21" s="1" t="n">
        <v>8.08</v>
      </c>
      <c r="D21" s="2" t="n">
        <f aca="false">$B$23+$B$24*B21+$B$25*C21</f>
        <v>0.01367</v>
      </c>
      <c r="E21" s="3" t="n">
        <f aca="false">EXP(D21)</f>
        <v>1.01376386165863</v>
      </c>
      <c r="F21" s="3" t="n">
        <f aca="false">IF(A21=1,E21/(1+E21),1-(E21/(1+E21)))</f>
        <v>0.496582553217711</v>
      </c>
      <c r="G21" s="3" t="n">
        <f aca="false">LN(F21)</f>
        <v>-0.700005538990573</v>
      </c>
    </row>
    <row r="22" customFormat="false" ht="15.75" hidden="false" customHeight="false" outlineLevel="0" collapsed="false">
      <c r="G22" s="1" t="n">
        <f aca="false">SUM($G$2:$G$21)</f>
        <v>-13.9385076719274</v>
      </c>
    </row>
    <row r="23" customFormat="false" ht="15.75" hidden="false" customHeight="false" outlineLevel="0" collapsed="false">
      <c r="A23" s="1" t="s">
        <v>7</v>
      </c>
      <c r="B23" s="4" t="n">
        <v>0.001</v>
      </c>
      <c r="D23" s="4" t="n">
        <v>-0.892</v>
      </c>
    </row>
    <row r="24" customFormat="false" ht="15.75" hidden="false" customHeight="false" outlineLevel="0" collapsed="false">
      <c r="A24" s="1" t="s">
        <v>8</v>
      </c>
      <c r="B24" s="4" t="n">
        <v>0.001</v>
      </c>
      <c r="D24" s="4" t="n">
        <v>0.205</v>
      </c>
    </row>
    <row r="25" customFormat="false" ht="15.75" hidden="false" customHeight="false" outlineLevel="0" collapsed="false">
      <c r="A25" s="1" t="s">
        <v>9</v>
      </c>
      <c r="B25" s="4" t="n">
        <v>0.001</v>
      </c>
      <c r="D25" s="4" t="n">
        <v>-0.311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e">
        <f aca="false">modelsheet=logit!A:Z</f>
        <v>#NAME?</v>
      </c>
    </row>
    <row r="2" customFormat="false" ht="15.75" hidden="false" customHeight="false" outlineLevel="0" collapsed="false">
      <c r="A2" s="1" t="e">
        <f aca="false">opensolver_adjnum=1</f>
        <v>#NAME?</v>
      </c>
    </row>
    <row r="3" customFormat="false" ht="15.75" hidden="false" customHeight="false" outlineLevel="0" collapsed="false">
      <c r="A3" s="1" t="e">
        <f aca="false">opensolver_chosensolver=neoscbc</f>
        <v>#NAME?</v>
      </c>
    </row>
    <row r="4" customFormat="false" ht="15.75" hidden="false" customHeight="false" outlineLevel="0" collapsed="false">
      <c r="A4" s="1" t="e">
        <f aca="false">opensolver_fastbuild=0</f>
        <v>#NAME?</v>
      </c>
    </row>
    <row r="5" customFormat="false" ht="15.75" hidden="false" customHeight="false" outlineLevel="0" collapsed="false">
      <c r="A5" s="1" t="e">
        <f aca="false">opensolver_linearitycheck=0</f>
        <v>#NAME?</v>
      </c>
    </row>
    <row r="6" customFormat="false" ht="15.75" hidden="false" customHeight="false" outlineLevel="0" collapsed="false">
      <c r="A6" s="1" t="e">
        <f aca="false">solver_adj=logit!B23:B25</f>
        <v>#NAME?</v>
      </c>
    </row>
    <row r="7" customFormat="false" ht="15.75" hidden="false" customHeight="false" outlineLevel="0" collapsed="false">
      <c r="A7" s="1" t="e">
        <f aca="false">solver_neg=0</f>
        <v>#NAME?</v>
      </c>
    </row>
    <row r="8" customFormat="false" ht="15.75" hidden="false" customHeight="false" outlineLevel="0" collapsed="false">
      <c r="A8" s="1" t="e">
        <f aca="false">solver_num=0</f>
        <v>#NAME?</v>
      </c>
    </row>
    <row r="9" customFormat="false" ht="15.75" hidden="false" customHeight="false" outlineLevel="0" collapsed="false">
      <c r="A9" s="1" t="e">
        <f aca="false">solver_opt=logit!G22</f>
        <v>#NAME?</v>
      </c>
    </row>
    <row r="10" customFormat="false" ht="15.75" hidden="false" customHeight="false" outlineLevel="0" collapsed="false">
      <c r="A10" s="1" t="e">
        <f aca="false">solver_sho=1</f>
        <v>#NAME?</v>
      </c>
    </row>
    <row r="11" customFormat="false" ht="15.75" hidden="false" customHeight="false" outlineLevel="0" collapsed="false">
      <c r="A11" s="1" t="e">
        <f aca="false">solver_typ=1</f>
        <v>#NAME?</v>
      </c>
    </row>
    <row r="12" customFormat="false" ht="15.75" hidden="false" customHeight="false" outlineLevel="0" collapsed="false">
      <c r="A12" s="1" t="e">
        <f aca="false">solver_val=0</f>
        <v>#NAME?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L10" activeCellId="0" sqref="L10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4.87"/>
    <col collapsed="false" customWidth="true" hidden="false" outlineLevel="0" max="9" min="6" style="0" width="5.35"/>
    <col collapsed="false" customWidth="true" hidden="false" outlineLevel="0" max="13" min="11" style="0" width="7.02"/>
  </cols>
  <sheetData>
    <row r="1" customFormat="false" ht="12.8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F1" s="0" t="s">
        <v>14</v>
      </c>
      <c r="G1" s="0" t="s">
        <v>11</v>
      </c>
      <c r="H1" s="0" t="s">
        <v>12</v>
      </c>
      <c r="I1" s="0" t="s">
        <v>13</v>
      </c>
      <c r="K1" s="6" t="s">
        <v>15</v>
      </c>
    </row>
    <row r="2" customFormat="false" ht="12.8" hidden="false" customHeight="false" outlineLevel="0" collapsed="false">
      <c r="A2" s="5" t="s">
        <v>16</v>
      </c>
      <c r="B2" s="0" t="n">
        <v>20</v>
      </c>
      <c r="C2" s="0" t="n">
        <v>6</v>
      </c>
      <c r="D2" s="0" t="n">
        <f aca="false">SUM(B2:C2)</f>
        <v>26</v>
      </c>
      <c r="F2" s="0" t="s">
        <v>16</v>
      </c>
      <c r="G2" s="0" t="n">
        <f aca="false">$D2/$D4*B4</f>
        <v>17.875</v>
      </c>
      <c r="H2" s="0" t="n">
        <f aca="false">$D2/$D4*C4</f>
        <v>8.125</v>
      </c>
      <c r="I2" s="0" t="n">
        <f aca="false">SUM(G2:H2)</f>
        <v>26</v>
      </c>
      <c r="L2" s="0" t="n">
        <f aca="false">(B2-G2)^2/G2</f>
        <v>0.252622377622378</v>
      </c>
      <c r="M2" s="0" t="n">
        <f aca="false">(C2-H2)^2/H2</f>
        <v>0.555769230769231</v>
      </c>
    </row>
    <row r="3" customFormat="false" ht="12.8" hidden="false" customHeight="false" outlineLevel="0" collapsed="false">
      <c r="A3" s="5" t="s">
        <v>17</v>
      </c>
      <c r="B3" s="0" t="n">
        <v>2</v>
      </c>
      <c r="C3" s="0" t="n">
        <v>4</v>
      </c>
      <c r="D3" s="0" t="n">
        <f aca="false">SUM(B3:C3)</f>
        <v>6</v>
      </c>
      <c r="F3" s="0" t="s">
        <v>17</v>
      </c>
      <c r="G3" s="0" t="n">
        <f aca="false">$D3/$D4*B4</f>
        <v>4.125</v>
      </c>
      <c r="H3" s="0" t="n">
        <f aca="false">$D3/$D4*C4</f>
        <v>1.875</v>
      </c>
      <c r="I3" s="0" t="n">
        <f aca="false">SUM(G3:H3)</f>
        <v>6</v>
      </c>
      <c r="L3" s="0" t="n">
        <f aca="false">(B3-G3)^2/G3</f>
        <v>1.09469696969697</v>
      </c>
      <c r="M3" s="0" t="n">
        <f aca="false">(C3-H3)^2/H3</f>
        <v>2.40833333333333</v>
      </c>
    </row>
    <row r="4" customFormat="false" ht="12.8" hidden="false" customHeight="false" outlineLevel="0" collapsed="false">
      <c r="A4" s="5" t="s">
        <v>13</v>
      </c>
      <c r="B4" s="0" t="n">
        <f aca="false">SUM(B2:B3)</f>
        <v>22</v>
      </c>
      <c r="C4" s="0" t="n">
        <f aca="false">SUM(C2:C3)</f>
        <v>10</v>
      </c>
      <c r="D4" s="0" t="n">
        <f aca="false">SUM(D2:D3)</f>
        <v>32</v>
      </c>
      <c r="F4" s="0" t="s">
        <v>18</v>
      </c>
      <c r="G4" s="0" t="n">
        <f aca="false">SUM(G2:G3)</f>
        <v>22</v>
      </c>
      <c r="H4" s="0" t="n">
        <f aca="false">SUM(H2:H3)</f>
        <v>10</v>
      </c>
      <c r="I4" s="0" t="n">
        <f aca="false">SUM(I2:I3)</f>
        <v>32</v>
      </c>
    </row>
    <row r="6" customFormat="false" ht="12.8" hidden="false" customHeight="false" outlineLevel="0" collapsed="false">
      <c r="D6" s="7" t="s">
        <v>19</v>
      </c>
    </row>
    <row r="7" customFormat="false" ht="12.8" hidden="false" customHeight="false" outlineLevel="0" collapsed="false">
      <c r="D7" s="0" t="s">
        <v>20</v>
      </c>
      <c r="E7" s="0" t="n">
        <v>0.05</v>
      </c>
    </row>
    <row r="8" customFormat="false" ht="12.8" hidden="false" customHeight="false" outlineLevel="0" collapsed="false">
      <c r="D8" s="0" t="s">
        <v>21</v>
      </c>
      <c r="E8" s="0" t="n">
        <f aca="false">(COLUMNS('chi-square'!$B$2:$C$3) - 1) * (ROWS('chi-square'!$B$2:$C$3) - 1)</f>
        <v>1</v>
      </c>
    </row>
    <row r="9" customFormat="false" ht="12.8" hidden="false" customHeight="false" outlineLevel="0" collapsed="false">
      <c r="D9" s="0" t="s">
        <v>22</v>
      </c>
      <c r="E9" s="0" t="n">
        <f aca="false">CHITEST('chi-square'!$B$2:$C$3, MMULT(MMULT('chi-square'!$B$2:$C$3,TRANSPOSE(IF(COLUMN('chi-square'!$B$2:$C$3),TRUE()))),MMULT(TRANSPOSE(IF(ROW('chi-square'!$B$2:$C$3),TRUE())),'chi-square'!$B$2:$C$3)) / SUM('chi-square'!$B$2:$C$3))</f>
        <v>0.0378573061339583</v>
      </c>
    </row>
    <row r="10" customFormat="false" ht="12.8" hidden="false" customHeight="false" outlineLevel="0" collapsed="false">
      <c r="D10" s="0" t="s">
        <v>23</v>
      </c>
      <c r="E10" s="0" t="n">
        <f aca="false">CHIINV('chi-square'!$E$9, 'chi-square'!$E$8)</f>
        <v>4.31142191142191</v>
      </c>
      <c r="L10" s="0" t="n">
        <f aca="false">SUM(L2:M3)</f>
        <v>4.31142191142191</v>
      </c>
    </row>
    <row r="11" customFormat="false" ht="12.8" hidden="false" customHeight="false" outlineLevel="0" collapsed="false">
      <c r="D11" s="0" t="s">
        <v>24</v>
      </c>
      <c r="E11" s="0" t="n">
        <f aca="false">CHIINV('chi-square'!$E$7, 'chi-square'!$E$8)</f>
        <v>3.84145882069413</v>
      </c>
    </row>
    <row r="14" customFormat="false" ht="12.8" hidden="false" customHeight="false" outlineLevel="0" collapsed="false">
      <c r="D14" s="7" t="s">
        <v>19</v>
      </c>
    </row>
    <row r="15" customFormat="false" ht="12.8" hidden="false" customHeight="false" outlineLevel="0" collapsed="false">
      <c r="D15" s="0" t="s">
        <v>20</v>
      </c>
      <c r="E15" s="0" t="n">
        <v>0.05</v>
      </c>
    </row>
    <row r="16" customFormat="false" ht="12.8" hidden="false" customHeight="false" outlineLevel="0" collapsed="false">
      <c r="D16" s="0" t="s">
        <v>21</v>
      </c>
      <c r="E16" s="0" t="n">
        <f aca="false">(COLUMNS('chi-square'!$B$2:$C$3) - 1) * (ROWS('chi-square'!$B$2:$C$3) - 1)</f>
        <v>1</v>
      </c>
    </row>
    <row r="17" customFormat="false" ht="12.8" hidden="false" customHeight="false" outlineLevel="0" collapsed="false">
      <c r="D17" s="0" t="s">
        <v>22</v>
      </c>
      <c r="E17" s="0" t="n">
        <f aca="false">CHITEST('chi-square'!$B$2:$C$3, MMULT(MMULT('chi-square'!$B$2:$C$3,TRANSPOSE(IF(COLUMN('chi-square'!$B$2:$C$3),TRUE()))),MMULT(TRANSPOSE(IF(ROW('chi-square'!$B$2:$C$3),TRUE())),'chi-square'!$B$2:$C$3)) / SUM('chi-square'!$B$2:$C$3))</f>
        <v>0.0378573061339583</v>
      </c>
      <c r="G17" s="8"/>
    </row>
    <row r="18" customFormat="false" ht="12.8" hidden="false" customHeight="false" outlineLevel="0" collapsed="false">
      <c r="D18" s="0" t="s">
        <v>23</v>
      </c>
      <c r="E18" s="0" t="n">
        <f aca="false">CHIINV('chi-square'!$E$17, 'chi-square'!$E$16)</f>
        <v>4.31142191142191</v>
      </c>
    </row>
    <row r="19" customFormat="false" ht="12.8" hidden="false" customHeight="false" outlineLevel="0" collapsed="false">
      <c r="D19" s="0" t="s">
        <v>24</v>
      </c>
      <c r="E19" s="0" t="n">
        <f aca="false">CHIINV('chi-square'!$E$15, 'chi-square'!$E$16)</f>
        <v>3.84145882069413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2025-11-11T20:09:10Z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